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Bio" sheetId="1" r:id="rId1"/>
    <sheet name="Scommesse" sheetId="2" r:id="rId2"/>
    <sheet name="Riepilogo" sheetId="3" r:id="rId3"/>
    <sheet name="Note" sheetId="4" r:id="rId4"/>
  </sheets>
  <definedNames/>
  <calcPr iterateDelta="1.0E-4"/>
</workbook>
</file>

<file path=xl/sharedStrings.xml><?xml version="1.0" encoding="utf-8"?>
<sst xmlns="http://schemas.openxmlformats.org/spreadsheetml/2006/main" uniqueCount="62" count="62">
  <si>
    <t>Campo</t>
  </si>
  <si>
    <t>Contenuto</t>
  </si>
  <si>
    <t>Sottotitolo</t>
  </si>
  <si>
    <t>Non è un servizio e non vendo nulla. Condivido solo quello che imparo dalla mia esperienza di gioco.</t>
  </si>
  <si>
    <t>Titolo bio</t>
  </si>
  <si>
    <t>Chi sono</t>
  </si>
  <si>
    <t>Bio</t>
  </si>
  <si>
    <t>Mi chiamo [nome] e seguo NFL e calcio da [anni] anni. Ho aperto questo spazio per tenere traccia delle mie giocate in modo trasparente: ogni riga che leggi qui è una scommessa che ho fatto con i miei soldi, vinta o persa che sia.
Non vivo di questo e non pretendo di avere un metodo infallibile. Registro tutto perché i numeri scritti sono l'unico modo per non raccontarsela: la memoria tiene le vincite e cancella il resto.
Quello che trovi nelle note sono le riflessioni che mi porto dietro dopo ogni giornata — soprattutto dagli errori, che sono la parte più utile.</t>
  </si>
  <si>
    <t>Titolo cosa trovi</t>
  </si>
  <si>
    <t>Cosa trovi qui</t>
  </si>
  <si>
    <t>Cosa trovi</t>
  </si>
  <si>
    <t>Il registro completo delle mie giocate, con importi ed esiti reali, aggiornato a mano.
Il saldo e il rendimento calcolati sull'intero storico, senza selezionare i periodi favorevoli.
Le note in cui ragiono su cosa ha funzionato e cosa no.
Il foglio di calcolo scaricabile, così puoi verificare i conti da solo.</t>
  </si>
  <si>
    <t>Nota finale</t>
  </si>
  <si>
    <t>Se hai domande o vuoi segnalarmi un errore nei conti, scrivimi a [tua-email].</t>
  </si>
  <si>
    <t>Non cambiare i nomi nella colonna "Campo": la pagina li cerca esattamente così.</t>
  </si>
  <si>
    <t>Per andare a capo dentro una cella premi ALT+INVIO. In "Cosa trovi" ogni riga diventa un punto elenco.</t>
  </si>
  <si>
    <t>Sottotitolo alternativo, se preferisci: "Non è un servizio e non vendo nulla, offro solo consigli dalle mie esperienze di gioco personale."</t>
  </si>
  <si>
    <t>Data</t>
  </si>
  <si>
    <t>Sport</t>
  </si>
  <si>
    <t>Evento</t>
  </si>
  <si>
    <t>Tipo Scommessa</t>
  </si>
  <si>
    <t>Quota</t>
  </si>
  <si>
    <t>Importo Scommesso (€)</t>
  </si>
  <si>
    <t>Esito</t>
  </si>
  <si>
    <t>Guadagno/Perdita (€)</t>
  </si>
  <si>
    <t>ROI (%)</t>
  </si>
  <si>
    <t>2026-08-10</t>
  </si>
  <si>
    <t>Calcio</t>
  </si>
  <si>
    <t>Inter vs Milan</t>
  </si>
  <si>
    <t>1X2 - Vittoria Inter</t>
  </si>
  <si>
    <t>Vinta</t>
  </si>
  <si>
    <t>2026-08-14</t>
  </si>
  <si>
    <t>NFL</t>
  </si>
  <si>
    <t>Chiefs vs Bills</t>
  </si>
  <si>
    <t>Over 47.5 punti</t>
  </si>
  <si>
    <t>Persa</t>
  </si>
  <si>
    <t>2026-08-17</t>
  </si>
  <si>
    <t>Juventus vs Napoli</t>
  </si>
  <si>
    <t>Doppia Chance 1X</t>
  </si>
  <si>
    <t>Legenda:</t>
  </si>
  <si>
    <t>Celle blu = da compilare manualmente</t>
  </si>
  <si>
    <t>Esito: scrivere esattamente "Vinta", "Persa" o lasciare vuoto</t>
  </si>
  <si>
    <t>Guadagno/Perdita e ROI si calcolano da soli</t>
  </si>
  <si>
    <t>RIEPILOGO PERFORMANCE SCOMMESSE</t>
  </si>
  <si>
    <t>Totale scommesse piazzate</t>
  </si>
  <si>
    <t>Scommesse vinte</t>
  </si>
  <si>
    <t>Scommesse perse</t>
  </si>
  <si>
    <t>Percentuale di vittoria (%)</t>
  </si>
  <si>
    <t>Totale importo scommesso (€)</t>
  </si>
  <si>
    <t>Guadagno/Perdita totale (€)</t>
  </si>
  <si>
    <t>ROI complessivo (%)</t>
  </si>
  <si>
    <t>Titolo</t>
  </si>
  <si>
    <t>Testo</t>
  </si>
  <si>
    <t>Perché tengo questo diario</t>
  </si>
  <si>
    <t>Registrare ogni giocata mi obbliga a essere onesto con me stesso. Senza numeri scritti si ricordano solo le vincite, e il quadro che ne esce non ha niente a che vedere con la realtà. Qui c'è tutto, comprese le perdite.</t>
  </si>
  <si>
    <t>Chiefs – Bills, letta male</t>
  </si>
  <si>
    <t>Avevo puntato sull'over convinto dal ritmo delle ultime uscite, ignorando il meteo previsto e la difesa in ripresa di Buffalo. Un dato preso da solo, fuori contesto, non vale granché.</t>
  </si>
  <si>
    <t>Le note più recenti vanno in cima. La data si scrive AAAA-MM-GG.</t>
  </si>
  <si>
    <t>Bologna vs Roma</t>
  </si>
  <si>
    <t>Totale Goal O2.5</t>
  </si>
  <si>
    <t>vinta</t>
  </si>
  <si>
    <t>Mi chiamo Valerio e seguo NFL e calcio da 20 anni. Ho aperto questo spazio per tenere traccia delle mie giocate in modo trasparente: ogni riga che leggi qui è una scommessa che ho fatto con i miei soldi, vinta o persa che sia.
Non vivo di questo e non pretendo di avere un metodo infallibile. Registro tutto perché i numeri scritti sono l'unico modo per non raccontarsela: la memoria tiene le vincite e cancella il resto.
Quello che trovi nelle note sono le riflessioni che mi porto dietro dopo ogni giornata — soprattutto dagli errori, che sono la parte più utile.</t>
  </si>
</sst>
</file>

<file path=xl/styles.xml><?xml version="1.0" encoding="utf-8"?>
<styleSheet xmlns="http://schemas.openxmlformats.org/spreadsheetml/2006/main">
  <numFmts count="6">
    <numFmt numFmtId="0" formatCode="General"/>
    <numFmt numFmtId="2" formatCode="0.00"/>
    <numFmt numFmtId="164" formatCode="\€#,##0.00"/>
    <numFmt numFmtId="165" formatCode="\€#,##0.00;&quot;(€&quot;#,##0.00\);\-"/>
    <numFmt numFmtId="166" formatCode="0.0%"/>
    <numFmt numFmtId="14" formatCode="dd/mm/yyyy"/>
  </numFmts>
  <fonts count="12">
    <font>
      <name val="Calibri"/>
      <sz val="11"/>
    </font>
    <font>
      <name val="Arial"/>
      <b/>
      <charset val="1"/>
      <sz val="11"/>
      <color rgb="FFFFFFFF"/>
    </font>
    <font>
      <name val="Arial"/>
      <b/>
      <charset val="1"/>
      <sz val="11"/>
    </font>
    <font>
      <name val="Arial"/>
      <charset val="1"/>
      <sz val="11"/>
    </font>
    <font>
      <name val="Arial"/>
      <i/>
      <charset val="1"/>
      <sz val="10"/>
      <color rgb="FF666666"/>
    </font>
    <font>
      <name val="Calibri"/>
      <charset val="1"/>
      <sz val="11"/>
      <color rgb="FF000000"/>
    </font>
    <font>
      <name val="Arial"/>
      <charset val="1"/>
      <sz val="11"/>
      <color rgb="FF0000FF"/>
    </font>
    <font>
      <name val="Arial"/>
      <i/>
      <charset val="1"/>
      <sz val="10"/>
      <color rgb="FF0000FF"/>
    </font>
    <font>
      <name val="Arial"/>
      <i/>
      <charset val="1"/>
      <sz val="10"/>
    </font>
    <font>
      <name val="Arial"/>
      <b/>
      <charset val="1"/>
      <sz val="16"/>
      <color rgb="FF1F4E78"/>
    </font>
    <font>
      <name val="Arial"/>
      <charset val="1"/>
      <sz val="12"/>
    </font>
    <font>
      <name val="Arial"/>
      <b/>
      <charset val="1"/>
      <sz val="1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bottom"/>
    </xf>
    <xf numFmtId="0" fontId="5" fillId="0" borderId="0" xfId="0" applyAlignment="1">
      <alignment vertical="bottom"/>
    </xf>
    <xf numFmtId="0" fontId="1" fillId="2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bottom"/>
    </xf>
    <xf numFmtId="2" fontId="6" fillId="0" borderId="1" xfId="0" applyFont="1" applyBorder="1" applyAlignment="1">
      <alignment horizontal="center" vertical="bottom"/>
    </xf>
    <xf numFmtId="164" fontId="6" fillId="0" borderId="1" xfId="0" applyFont="1" applyBorder="1" applyAlignment="1">
      <alignment horizontal="center" vertical="bottom"/>
    </xf>
    <xf numFmtId="165" fontId="5" fillId="0" borderId="1" xfId="0" applyBorder="1" applyAlignment="1">
      <alignment horizontal="center" vertical="bottom"/>
    </xf>
    <xf numFmtId="166" fontId="5" fillId="0" borderId="1" xfId="0" applyBorder="1" applyAlignment="1">
      <alignment horizontal="center" vertical="bottom"/>
    </xf>
    <xf numFmtId="14" fontId="5" fillId="0" borderId="1" xfId="0" applyNumberFormat="1" applyBorder="1" applyAlignment="1">
      <alignment vertical="bottom"/>
    </xf>
    <xf numFmtId="0" fontId="5" fillId="0" borderId="1" xfId="0" applyBorder="1" applyAlignment="1">
      <alignment vertical="bottom"/>
    </xf>
    <xf numFmtId="2" fontId="5" fillId="0" borderId="1" xfId="0" applyBorder="1" applyAlignment="1">
      <alignment vertical="bottom"/>
    </xf>
    <xf numFmtId="164" fontId="5" fillId="0" borderId="1" xfId="0" applyBorder="1" applyAlignment="1">
      <alignment vertical="bottom"/>
    </xf>
    <xf numFmtId="165" fontId="5" fillId="0" borderId="1" xfId="0" applyBorder="1" applyAlignment="1">
      <alignment vertical="bottom"/>
    </xf>
    <xf numFmtId="166" fontId="5" fillId="0" borderId="1" xfId="0" applyBorder="1" applyAlignment="1">
      <alignment vertical="bottom"/>
    </xf>
    <xf numFmtId="0" fontId="2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0" borderId="0" xfId="0" applyFont="1" applyBorder="1" applyAlignment="1">
      <alignment vertical="bottom"/>
    </xf>
    <xf numFmtId="0" fontId="10" fillId="0" borderId="0" xfId="0" applyFont="1" applyAlignment="1">
      <alignment vertical="bottom"/>
    </xf>
    <xf numFmtId="0" fontId="11" fillId="0" borderId="0" xfId="0" applyFont="1" applyAlignment="1">
      <alignment horizontal="center" vertical="bottom"/>
    </xf>
    <xf numFmtId="166" fontId="11" fillId="0" borderId="0" xfId="0" applyFont="1" applyAlignment="1">
      <alignment horizontal="center" vertical="bottom"/>
    </xf>
    <xf numFmtId="165" fontId="11" fillId="0" borderId="0" xfId="0" applyFont="1" applyAlignment="1">
      <alignment horizontal="center" vertical="bottom"/>
    </xf>
    <xf numFmtId="0" fontId="3" fillId="0" borderId="1" xfId="0" applyFont="1" applyBorder="1" applyAlignment="1">
      <alignment vertical="top"/>
    </xf>
    <xf numFmtId="0" fontId="5" fillId="0" borderId="1" xfId="0" applyBorder="1" applyAlignment="1">
      <alignment vertical="top" wrapText="1"/>
    </xf>
    <xf numFmtId="0" fontId="4" fillId="0" borderId="0" xfId="0" applyFont="1" applyAlignment="1">
      <alignment vertical="bottom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tabSelected="1" workbookViewId="0" topLeftCell="A3">
      <selection activeCell="B4" sqref="B4"/>
    </sheetView>
  </sheetViews>
  <sheetFormatPr defaultRowHeight="15.0" zeroHeight="1"/>
  <cols>
    <col min="1" max="1" customWidth="1" width="22.0" style="0"/>
    <col min="2" max="2" customWidth="1" width="95.0" style="0"/>
  </cols>
  <sheetData>
    <row r="1" spans="8:8" ht="15.0">
      <c r="A1" s="1" t="s">
        <v>0</v>
      </c>
      <c r="B1" s="1" t="s">
        <v>1</v>
      </c>
    </row>
    <row r="2" spans="8:8" ht="39.75" customHeight="1">
      <c r="A2" s="2" t="s">
        <v>2</v>
      </c>
      <c r="B2" s="3" t="s">
        <v>3</v>
      </c>
    </row>
    <row r="3" spans="8:8" ht="39.75" customHeight="1">
      <c r="A3" s="2" t="s">
        <v>4</v>
      </c>
      <c r="B3" s="3" t="s">
        <v>5</v>
      </c>
    </row>
    <row r="4" spans="8:8" ht="90.0" customHeight="1">
      <c r="A4" s="2" t="s">
        <v>6</v>
      </c>
      <c r="B4" s="3" t="s">
        <v>61</v>
      </c>
    </row>
    <row r="5" spans="8:8" ht="39.75" customHeight="1">
      <c r="A5" s="2" t="s">
        <v>8</v>
      </c>
      <c r="B5" s="3" t="s">
        <v>9</v>
      </c>
    </row>
    <row r="6" spans="8:8" ht="90.0" customHeight="1">
      <c r="A6" s="2" t="s">
        <v>10</v>
      </c>
      <c r="B6" s="3" t="s">
        <v>11</v>
      </c>
    </row>
    <row r="7" spans="8:8" ht="39.75" customHeight="1">
      <c r="A7" s="2" t="s">
        <v>12</v>
      </c>
      <c r="B7" s="3" t="s">
        <v>13</v>
      </c>
    </row>
    <row r="9" spans="8:8" ht="15.0">
      <c r="A9" s="4" t="s">
        <v>14</v>
      </c>
    </row>
    <row r="10" spans="8:8" ht="15.0">
      <c r="A10" s="4" t="s">
        <v>15</v>
      </c>
    </row>
    <row r="11" spans="8:8" ht="15.0">
      <c r="A11" s="4" t="s">
        <v>16</v>
      </c>
    </row>
  </sheetData>
  <pageMargins left="0.75" right="0.75" top="1.0" bottom="1.0" header="0.511811023622047" footer="0.511811023622047"/>
  <pageSetup paperSize="9"/>
</worksheet>
</file>

<file path=xl/worksheets/sheet2.xml><?xml version="1.0" encoding="utf-8"?>
<worksheet xmlns:r="http://schemas.openxmlformats.org/officeDocument/2006/relationships" xmlns="http://schemas.openxmlformats.org/spreadsheetml/2006/main">
  <dimension ref="A1:J36"/>
  <sheetViews>
    <sheetView workbookViewId="0" topLeftCell="H1">
      <pane ySplit="1" topLeftCell="A2" state="frozen" activePane="bottomLeft"/>
      <selection pane="bottomLeft" activeCell="G5" sqref="G5"/>
    </sheetView>
  </sheetViews>
  <sheetFormatPr defaultRowHeight="15.0" zeroHeight="1"/>
  <cols>
    <col min="1" max="1" customWidth="1" width="12.0" style="5"/>
    <col min="2" max="2" customWidth="1" width="10.0" style="5"/>
    <col min="3" max="3" customWidth="1" width="24.0" style="5"/>
    <col min="4" max="4" customWidth="1" width="22.0" style="5"/>
    <col min="5" max="5" customWidth="1" width="8.0" style="5"/>
    <col min="6" max="6" customWidth="1" width="16.0" style="5"/>
    <col min="7" max="7" customWidth="1" width="10.0" style="5"/>
    <col min="8" max="8" customWidth="1" width="18.0" style="5"/>
    <col min="9" max="9" customWidth="1" width="10.0" style="5"/>
  </cols>
  <sheetData>
    <row r="1" spans="8:8" ht="30.0" customHeight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</row>
    <row r="2" spans="8:8" ht="15.0" customHeight="1">
      <c r="A2" s="7" t="s">
        <v>26</v>
      </c>
      <c r="B2" s="7" t="s">
        <v>27</v>
      </c>
      <c r="C2" s="7" t="s">
        <v>28</v>
      </c>
      <c r="D2" s="7" t="s">
        <v>29</v>
      </c>
      <c r="E2" s="8">
        <v>1.85</v>
      </c>
      <c r="F2" s="9">
        <v>100.0</v>
      </c>
      <c r="G2" s="7" t="s">
        <v>30</v>
      </c>
      <c r="H2" s="10">
        <f>IF(G2="Vinta",(E2*F2)-F2,IF(G2="Persa",-F2,0))</f>
        <v>85.0</v>
      </c>
      <c r="I2" s="11">
        <f>_xlfn.IFERROR(H2/F2,0)</f>
        <v>0.85</v>
      </c>
    </row>
    <row r="3" spans="8:8" ht="15.0" customHeight="1">
      <c r="A3" s="7" t="s">
        <v>31</v>
      </c>
      <c r="B3" s="7" t="s">
        <v>32</v>
      </c>
      <c r="C3" s="7" t="s">
        <v>33</v>
      </c>
      <c r="D3" s="7" t="s">
        <v>34</v>
      </c>
      <c r="E3" s="8">
        <v>1.9</v>
      </c>
      <c r="F3" s="9">
        <v>150.0</v>
      </c>
      <c r="G3" s="7" t="s">
        <v>35</v>
      </c>
      <c r="H3" s="10">
        <f>IF(G3="Vinta",(E3*F3)-F3,IF(G3="Persa",-F3,0))</f>
        <v>-150.0</v>
      </c>
      <c r="I3" s="11">
        <f>_xlfn.IFERROR(H3/F3,0)</f>
        <v>-1.0</v>
      </c>
    </row>
    <row r="4" spans="8:8" ht="15.0" customHeight="1">
      <c r="A4" s="7" t="s">
        <v>36</v>
      </c>
      <c r="B4" s="7" t="s">
        <v>27</v>
      </c>
      <c r="C4" s="7" t="s">
        <v>37</v>
      </c>
      <c r="D4" s="7" t="s">
        <v>38</v>
      </c>
      <c r="E4" s="8">
        <v>1.4</v>
      </c>
      <c r="F4" s="9">
        <v>200.0</v>
      </c>
      <c r="G4" s="7" t="s">
        <v>30</v>
      </c>
      <c r="H4" s="10">
        <f>IF(G4="Vinta",(E4*F4)-F4,IF(G4="Persa",-F4,0))</f>
        <v>80.0</v>
      </c>
      <c r="I4" s="11">
        <f>_xlfn.IFERROR(H4/F4,0)</f>
        <v>0.4</v>
      </c>
    </row>
    <row r="5" spans="8:8" ht="15.0" customHeight="1">
      <c r="A5" s="12">
        <v>46254.0</v>
      </c>
      <c r="B5" s="13" t="s">
        <v>27</v>
      </c>
      <c r="C5" s="13" t="s">
        <v>58</v>
      </c>
      <c r="D5" s="13" t="s">
        <v>59</v>
      </c>
      <c r="E5" s="14">
        <v>1.9</v>
      </c>
      <c r="F5" s="15">
        <v>200.0</v>
      </c>
      <c r="G5" s="13" t="s">
        <v>60</v>
      </c>
      <c r="H5" s="16">
        <f>IF(G5="Vinta",(E5*F5)-F5,IF(G5="Persa",-F5,0))</f>
        <v>180.0</v>
      </c>
      <c r="I5" s="17">
        <f>_xlfn.IFERROR(H5/F5,0)</f>
        <v>0.9</v>
      </c>
    </row>
    <row r="6" spans="8:8" ht="15.0" customHeight="1">
      <c r="A6" s="13"/>
      <c r="B6" s="13"/>
      <c r="C6" s="13"/>
      <c r="D6" s="13"/>
      <c r="E6" s="14"/>
      <c r="F6" s="15"/>
      <c r="G6" s="13"/>
      <c r="H6" s="16">
        <f>IF(G6="Vinta",(E6*F6)-F6,IF(G6="Persa",-F6,0))</f>
        <v>0.0</v>
      </c>
      <c r="I6" s="17">
        <f>_xlfn.IFERROR(H6/F6,0)</f>
        <v>0.0</v>
      </c>
    </row>
    <row r="7" spans="8:8" ht="15.0" customHeight="1">
      <c r="A7" s="13"/>
      <c r="B7" s="13"/>
      <c r="C7" s="13"/>
      <c r="D7" s="13"/>
      <c r="E7" s="14"/>
      <c r="F7" s="15"/>
      <c r="G7" s="13"/>
      <c r="H7" s="16">
        <f>IF(G7="Vinta",(E7*F7)-F7,IF(G7="Persa",-F7,0))</f>
        <v>0.0</v>
      </c>
      <c r="I7" s="17">
        <f>_xlfn.IFERROR(H7/F7,0)</f>
        <v>0.0</v>
      </c>
    </row>
    <row r="8" spans="8:8" ht="15.0" customHeight="1">
      <c r="A8" s="13"/>
      <c r="B8" s="13"/>
      <c r="C8" s="13"/>
      <c r="D8" s="13"/>
      <c r="E8" s="14"/>
      <c r="F8" s="15"/>
      <c r="G8" s="13"/>
      <c r="H8" s="16">
        <f>IF(G8="Vinta",(E8*F8)-F8,IF(G8="Persa",-F8,0))</f>
        <v>0.0</v>
      </c>
      <c r="I8" s="17">
        <f>_xlfn.IFERROR(H8/F8,0)</f>
        <v>0.0</v>
      </c>
    </row>
    <row r="9" spans="8:8" ht="15.0" customHeight="1">
      <c r="A9" s="13"/>
      <c r="B9" s="13"/>
      <c r="C9" s="13"/>
      <c r="D9" s="13"/>
      <c r="E9" s="14"/>
      <c r="F9" s="15"/>
      <c r="G9" s="13"/>
      <c r="H9" s="16">
        <f>IF(G9="Vinta",(E9*F9)-F9,IF(G9="Persa",-F9,0))</f>
        <v>0.0</v>
      </c>
      <c r="I9" s="17">
        <f>_xlfn.IFERROR(H9/F9,0)</f>
        <v>0.0</v>
      </c>
    </row>
    <row r="10" spans="8:8" ht="15.0" customHeight="1">
      <c r="A10" s="13"/>
      <c r="B10" s="13"/>
      <c r="C10" s="13"/>
      <c r="D10" s="13"/>
      <c r="E10" s="14"/>
      <c r="F10" s="15"/>
      <c r="G10" s="13"/>
      <c r="H10" s="16">
        <f>IF(G10="Vinta",(E10*F10)-F10,IF(G10="Persa",-F10,0))</f>
        <v>0.0</v>
      </c>
      <c r="I10" s="17">
        <f>_xlfn.IFERROR(H10/F10,0)</f>
        <v>0.0</v>
      </c>
    </row>
    <row r="11" spans="8:8" ht="15.0" customHeight="1">
      <c r="A11" s="13"/>
      <c r="B11" s="13"/>
      <c r="C11" s="13"/>
      <c r="D11" s="13"/>
      <c r="E11" s="14"/>
      <c r="F11" s="15"/>
      <c r="G11" s="13"/>
      <c r="H11" s="16">
        <f>IF(G11="Vinta",(E11*F11)-F11,IF(G11="Persa",-F11,0))</f>
        <v>0.0</v>
      </c>
      <c r="I11" s="17">
        <f>_xlfn.IFERROR(H11/F11,0)</f>
        <v>0.0</v>
      </c>
    </row>
    <row r="12" spans="8:8" ht="15.0" customHeight="1">
      <c r="A12" s="13"/>
      <c r="B12" s="13"/>
      <c r="C12" s="13"/>
      <c r="D12" s="13"/>
      <c r="E12" s="14"/>
      <c r="F12" s="15"/>
      <c r="G12" s="13"/>
      <c r="H12" s="16">
        <f>IF(G12="Vinta",(E12*F12)-F12,IF(G12="Persa",-F12,0))</f>
        <v>0.0</v>
      </c>
      <c r="I12" s="17">
        <f>_xlfn.IFERROR(H12/F12,0)</f>
        <v>0.0</v>
      </c>
    </row>
    <row r="13" spans="8:8" ht="15.0" customHeight="1">
      <c r="A13" s="13"/>
      <c r="B13" s="13"/>
      <c r="C13" s="13"/>
      <c r="D13" s="13"/>
      <c r="E13" s="14"/>
      <c r="F13" s="15"/>
      <c r="G13" s="13"/>
      <c r="H13" s="16">
        <f>IF(G13="Vinta",(E13*F13)-F13,IF(G13="Persa",-F13,0))</f>
        <v>0.0</v>
      </c>
      <c r="I13" s="17">
        <f>_xlfn.IFERROR(H13/F13,0)</f>
        <v>0.0</v>
      </c>
    </row>
    <row r="14" spans="8:8" ht="15.0" customHeight="1">
      <c r="A14" s="13"/>
      <c r="B14" s="13"/>
      <c r="C14" s="13"/>
      <c r="D14" s="13"/>
      <c r="E14" s="14"/>
      <c r="F14" s="15"/>
      <c r="G14" s="13"/>
      <c r="H14" s="16">
        <f>IF(G14="Vinta",(E14*F14)-F14,IF(G14="Persa",-F14,0))</f>
        <v>0.0</v>
      </c>
      <c r="I14" s="17">
        <f>_xlfn.IFERROR(H14/F14,0)</f>
        <v>0.0</v>
      </c>
    </row>
    <row r="15" spans="8:8" ht="15.0" customHeight="1">
      <c r="A15" s="13"/>
      <c r="B15" s="13"/>
      <c r="C15" s="13"/>
      <c r="D15" s="13"/>
      <c r="E15" s="14"/>
      <c r="F15" s="15"/>
      <c r="G15" s="13"/>
      <c r="H15" s="16">
        <f>IF(G15="Vinta",(E15*F15)-F15,IF(G15="Persa",-F15,0))</f>
        <v>0.0</v>
      </c>
      <c r="I15" s="17">
        <f>_xlfn.IFERROR(H15/F15,0)</f>
        <v>0.0</v>
      </c>
    </row>
    <row r="16" spans="8:8" ht="15.0" customHeight="1">
      <c r="A16" s="13"/>
      <c r="B16" s="13"/>
      <c r="C16" s="13"/>
      <c r="D16" s="13"/>
      <c r="E16" s="14"/>
      <c r="F16" s="15"/>
      <c r="G16" s="13"/>
      <c r="H16" s="16">
        <f>IF(G16="Vinta",(E16*F16)-F16,IF(G16="Persa",-F16,0))</f>
        <v>0.0</v>
      </c>
      <c r="I16" s="17">
        <f>_xlfn.IFERROR(H16/F16,0)</f>
        <v>0.0</v>
      </c>
    </row>
    <row r="17" spans="8:8" ht="15.0" customHeight="1">
      <c r="A17" s="13"/>
      <c r="B17" s="13"/>
      <c r="C17" s="13"/>
      <c r="D17" s="13"/>
      <c r="E17" s="14"/>
      <c r="F17" s="15"/>
      <c r="G17" s="13"/>
      <c r="H17" s="16">
        <f>IF(G17="Vinta",(E17*F17)-F17,IF(G17="Persa",-F17,0))</f>
        <v>0.0</v>
      </c>
      <c r="I17" s="17">
        <f>_xlfn.IFERROR(H17/F17,0)</f>
        <v>0.0</v>
      </c>
    </row>
    <row r="18" spans="8:8" ht="15.0" customHeight="1">
      <c r="A18" s="13"/>
      <c r="B18" s="13"/>
      <c r="C18" s="13"/>
      <c r="D18" s="13"/>
      <c r="E18" s="14"/>
      <c r="F18" s="15"/>
      <c r="G18" s="13"/>
      <c r="H18" s="16">
        <f>IF(G18="Vinta",(E18*F18)-F18,IF(G18="Persa",-F18,0))</f>
        <v>0.0</v>
      </c>
      <c r="I18" s="17">
        <f>_xlfn.IFERROR(H18/F18,0)</f>
        <v>0.0</v>
      </c>
    </row>
    <row r="19" spans="8:8" ht="15.0" customHeight="1">
      <c r="A19" s="13"/>
      <c r="B19" s="13"/>
      <c r="C19" s="13"/>
      <c r="D19" s="13"/>
      <c r="E19" s="14"/>
      <c r="F19" s="15"/>
      <c r="G19" s="13"/>
      <c r="H19" s="16">
        <f>IF(G19="Vinta",(E19*F19)-F19,IF(G19="Persa",-F19,0))</f>
        <v>0.0</v>
      </c>
      <c r="I19" s="17">
        <f>_xlfn.IFERROR(H19/F19,0)</f>
        <v>0.0</v>
      </c>
    </row>
    <row r="20" spans="8:8" ht="15.0" customHeight="1">
      <c r="A20" s="13"/>
      <c r="B20" s="13"/>
      <c r="C20" s="13"/>
      <c r="D20" s="13"/>
      <c r="E20" s="14"/>
      <c r="F20" s="15"/>
      <c r="G20" s="13"/>
      <c r="H20" s="16">
        <f>IF(G20="Vinta",(E20*F20)-F20,IF(G20="Persa",-F20,0))</f>
        <v>0.0</v>
      </c>
      <c r="I20" s="17">
        <f>_xlfn.IFERROR(H20/F20,0)</f>
        <v>0.0</v>
      </c>
    </row>
    <row r="21" spans="8:8" ht="15.0" customHeight="1">
      <c r="A21" s="13"/>
      <c r="B21" s="13"/>
      <c r="C21" s="13"/>
      <c r="D21" s="13"/>
      <c r="E21" s="14"/>
      <c r="F21" s="15"/>
      <c r="G21" s="13"/>
      <c r="H21" s="16">
        <f>IF(G21="Vinta",(E21*F21)-F21,IF(G21="Persa",-F21,0))</f>
        <v>0.0</v>
      </c>
      <c r="I21" s="17">
        <f>_xlfn.IFERROR(H21/F21,0)</f>
        <v>0.0</v>
      </c>
    </row>
    <row r="22" spans="8:8" ht="15.0" customHeight="1">
      <c r="A22" s="13"/>
      <c r="B22" s="13"/>
      <c r="C22" s="13"/>
      <c r="D22" s="13"/>
      <c r="E22" s="14"/>
      <c r="F22" s="15"/>
      <c r="G22" s="13"/>
      <c r="H22" s="16">
        <f>IF(G22="Vinta",(E22*F22)-F22,IF(G22="Persa",-F22,0))</f>
        <v>0.0</v>
      </c>
      <c r="I22" s="17">
        <f>_xlfn.IFERROR(H22/F22,0)</f>
        <v>0.0</v>
      </c>
    </row>
    <row r="23" spans="8:8" ht="15.0" customHeight="1">
      <c r="A23" s="13"/>
      <c r="B23" s="13"/>
      <c r="C23" s="13"/>
      <c r="D23" s="13"/>
      <c r="E23" s="14"/>
      <c r="F23" s="15"/>
      <c r="G23" s="13"/>
      <c r="H23" s="16">
        <f>IF(G23="Vinta",(E23*F23)-F23,IF(G23="Persa",-F23,0))</f>
        <v>0.0</v>
      </c>
      <c r="I23" s="17">
        <f>_xlfn.IFERROR(H23/F23,0)</f>
        <v>0.0</v>
      </c>
    </row>
    <row r="24" spans="8:8" ht="15.0" customHeight="1">
      <c r="A24" s="13"/>
      <c r="B24" s="13"/>
      <c r="C24" s="13"/>
      <c r="D24" s="13"/>
      <c r="E24" s="14"/>
      <c r="F24" s="15"/>
      <c r="G24" s="13"/>
      <c r="H24" s="16">
        <f>IF(G24="Vinta",(E24*F24)-F24,IF(G24="Persa",-F24,0))</f>
        <v>0.0</v>
      </c>
      <c r="I24" s="17">
        <f>_xlfn.IFERROR(H24/F24,0)</f>
        <v>0.0</v>
      </c>
    </row>
    <row r="25" spans="8:8" ht="15.0" customHeight="1">
      <c r="A25" s="13"/>
      <c r="B25" s="13"/>
      <c r="C25" s="13"/>
      <c r="D25" s="13"/>
      <c r="E25" s="14"/>
      <c r="F25" s="15"/>
      <c r="G25" s="13"/>
      <c r="H25" s="16">
        <f>IF(G25="Vinta",(E25*F25)-F25,IF(G25="Persa",-F25,0))</f>
        <v>0.0</v>
      </c>
      <c r="I25" s="17">
        <f>_xlfn.IFERROR(H25/F25,0)</f>
        <v>0.0</v>
      </c>
    </row>
    <row r="26" spans="8:8" ht="15.0" customHeight="1">
      <c r="A26" s="13"/>
      <c r="B26" s="13"/>
      <c r="C26" s="13"/>
      <c r="D26" s="13"/>
      <c r="E26" s="14"/>
      <c r="F26" s="15"/>
      <c r="G26" s="13"/>
      <c r="H26" s="16">
        <f>IF(G26="Vinta",(E26*F26)-F26,IF(G26="Persa",-F26,0))</f>
        <v>0.0</v>
      </c>
      <c r="I26" s="17">
        <f>_xlfn.IFERROR(H26/F26,0)</f>
        <v>0.0</v>
      </c>
    </row>
    <row r="27" spans="8:8" ht="15.0" customHeight="1">
      <c r="A27" s="13"/>
      <c r="B27" s="13"/>
      <c r="C27" s="13"/>
      <c r="D27" s="13"/>
      <c r="E27" s="14"/>
      <c r="F27" s="15"/>
      <c r="G27" s="13"/>
      <c r="H27" s="16">
        <f>IF(G27="Vinta",(E27*F27)-F27,IF(G27="Persa",-F27,0))</f>
        <v>0.0</v>
      </c>
      <c r="I27" s="17">
        <f>_xlfn.IFERROR(H27/F27,0)</f>
        <v>0.0</v>
      </c>
    </row>
    <row r="28" spans="8:8" ht="15.0" customHeight="1">
      <c r="A28" s="13"/>
      <c r="B28" s="13"/>
      <c r="C28" s="13"/>
      <c r="D28" s="13"/>
      <c r="E28" s="14"/>
      <c r="F28" s="15"/>
      <c r="G28" s="13"/>
      <c r="H28" s="16">
        <f>IF(G28="Vinta",(E28*F28)-F28,IF(G28="Persa",-F28,0))</f>
        <v>0.0</v>
      </c>
      <c r="I28" s="17">
        <f>_xlfn.IFERROR(H28/F28,0)</f>
        <v>0.0</v>
      </c>
    </row>
    <row r="29" spans="8:8" ht="15.0" customHeight="1">
      <c r="A29" s="13"/>
      <c r="B29" s="13"/>
      <c r="C29" s="13"/>
      <c r="D29" s="13"/>
      <c r="E29" s="14"/>
      <c r="F29" s="15"/>
      <c r="G29" s="13"/>
      <c r="H29" s="16">
        <f>IF(G29="Vinta",(E29*F29)-F29,IF(G29="Persa",-F29,0))</f>
        <v>0.0</v>
      </c>
      <c r="I29" s="17">
        <f>_xlfn.IFERROR(H29/F29,0)</f>
        <v>0.0</v>
      </c>
    </row>
    <row r="30" spans="8:8" ht="15.0" customHeight="1">
      <c r="A30" s="13"/>
      <c r="B30" s="13"/>
      <c r="C30" s="13"/>
      <c r="D30" s="13"/>
      <c r="E30" s="14"/>
      <c r="F30" s="15"/>
      <c r="G30" s="13"/>
      <c r="H30" s="16">
        <f>IF(G30="Vinta",(E30*F30)-F30,IF(G30="Persa",-F30,0))</f>
        <v>0.0</v>
      </c>
      <c r="I30" s="17">
        <f>_xlfn.IFERROR(H30/F30,0)</f>
        <v>0.0</v>
      </c>
    </row>
    <row r="31" spans="8:8" ht="15.0" customHeight="1">
      <c r="A31" s="13"/>
      <c r="B31" s="13"/>
      <c r="C31" s="13"/>
      <c r="D31" s="13"/>
      <c r="E31" s="14"/>
      <c r="F31" s="15"/>
      <c r="G31" s="13"/>
      <c r="H31" s="16">
        <f>IF(G31="Vinta",(E31*F31)-F31,IF(G31="Persa",-F31,0))</f>
        <v>0.0</v>
      </c>
      <c r="I31" s="17">
        <f>_xlfn.IFERROR(H31/F31,0)</f>
        <v>0.0</v>
      </c>
    </row>
    <row r="33" spans="8:8" ht="15.0" customHeight="1">
      <c r="A33" s="18" t="s">
        <v>39</v>
      </c>
    </row>
    <row r="34" spans="8:8" ht="15.0" customHeight="1">
      <c r="A34" s="19" t="s">
        <v>40</v>
      </c>
    </row>
    <row r="35" spans="8:8" ht="15.0" customHeight="1">
      <c r="A35" s="20" t="s">
        <v>41</v>
      </c>
    </row>
    <row r="36" spans="8:8" ht="15.0" customHeight="1">
      <c r="A36" s="20" t="s">
        <v>42</v>
      </c>
    </row>
  </sheetData>
  <pageMargins left="0.75" right="0.75" top="1.0" bottom="1.0" header="0.511811023622047" footer="0.511811023622047"/>
  <pageSetup paperSize="9"/>
</worksheet>
</file>

<file path=xl/worksheets/sheet3.xml><?xml version="1.0" encoding="utf-8"?>
<worksheet xmlns:r="http://schemas.openxmlformats.org/officeDocument/2006/relationships" xmlns="http://schemas.openxmlformats.org/spreadsheetml/2006/main">
  <dimension ref="A1:D9"/>
  <sheetViews>
    <sheetView workbookViewId="0" showGridLines="0">
      <selection activeCell="A1" sqref="A1:C1"/>
    </sheetView>
  </sheetViews>
  <sheetFormatPr defaultRowHeight="15.0" zeroHeight="1"/>
  <cols>
    <col min="1" max="1" customWidth="1" width="32.0" style="5"/>
    <col min="2" max="2" customWidth="1" width="18.0" style="5"/>
  </cols>
  <sheetData>
    <row r="1" spans="8:8" ht="19.5" customHeight="1">
      <c r="A1" s="21" t="s">
        <v>43</v>
      </c>
      <c r="B1" s="21"/>
      <c r="C1" s="21"/>
    </row>
    <row r="3" spans="8:8" ht="15.0" customHeight="1">
      <c r="A3" s="22" t="s">
        <v>44</v>
      </c>
      <c r="B3" s="23">
        <f>COUNTA(Scommesse!G2:G31)</f>
        <v>4.0</v>
      </c>
    </row>
    <row r="4" spans="8:8" ht="15.0" customHeight="1">
      <c r="A4" s="22" t="s">
        <v>45</v>
      </c>
      <c r="B4" s="23">
        <f>COUNTIF(Scommesse!G2:G31,"Vinta")</f>
        <v>3.0</v>
      </c>
    </row>
    <row r="5" spans="8:8" ht="15.0" customHeight="1">
      <c r="A5" s="22" t="s">
        <v>46</v>
      </c>
      <c r="B5" s="23">
        <f>COUNTIF(Scommesse!G2:G31,"Persa")</f>
        <v>1.0</v>
      </c>
    </row>
    <row r="6" spans="8:8" ht="15.0" customHeight="1">
      <c r="A6" s="22" t="s">
        <v>47</v>
      </c>
      <c r="B6" s="24">
        <f>_xlfn.IFERROR(B4/B3,0)</f>
        <v>0.75</v>
      </c>
    </row>
    <row r="7" spans="8:8" ht="15.0" customHeight="1">
      <c r="A7" s="22" t="s">
        <v>48</v>
      </c>
      <c r="B7" s="25">
        <f>SUM(Scommesse!F2:F31)</f>
        <v>650.0</v>
      </c>
    </row>
    <row r="8" spans="8:8" ht="15.0" customHeight="1">
      <c r="A8" s="22" t="s">
        <v>49</v>
      </c>
      <c r="B8" s="25">
        <f>SUM(Scommesse!H2:H31)</f>
        <v>195.0</v>
      </c>
    </row>
    <row r="9" spans="8:8" ht="15.0" customHeight="1">
      <c r="A9" s="22" t="s">
        <v>50</v>
      </c>
      <c r="B9" s="24">
        <f>_xlfn.IFERROR(B8/B7,0)</f>
        <v>0.3</v>
      </c>
    </row>
  </sheetData>
  <mergeCells count="1">
    <mergeCell ref="A1:C1"/>
  </mergeCells>
  <pageMargins left="0.75" right="0.75" top="1.0" bottom="1.0" header="0.511811023622047" footer="0.511811023622047"/>
  <pageSetup paperSize="9"/>
</worksheet>
</file>

<file path=xl/worksheets/sheet4.xml><?xml version="1.0" encoding="utf-8"?>
<worksheet xmlns:r="http://schemas.openxmlformats.org/officeDocument/2006/relationships" xmlns="http://schemas.openxmlformats.org/spreadsheetml/2006/main">
  <dimension ref="A1:D33"/>
  <sheetViews>
    <sheetView workbookViewId="0">
      <pane ySplit="1" topLeftCell="A2" state="frozen" activePane="bottomLeft"/>
      <selection pane="bottomLeft" activeCell="A1" sqref="A1"/>
    </sheetView>
  </sheetViews>
  <sheetFormatPr defaultRowHeight="15.0" zeroHeight="1"/>
  <cols>
    <col min="1" max="1" customWidth="1" width="14.0" style="5"/>
    <col min="2" max="2" customWidth="1" width="38.0" style="5"/>
    <col min="3" max="3" customWidth="1" width="90.0" style="5"/>
  </cols>
  <sheetData>
    <row r="1" spans="8:8" ht="15.0" customHeight="1">
      <c r="A1" s="1" t="s">
        <v>17</v>
      </c>
      <c r="B1" s="1" t="s">
        <v>51</v>
      </c>
      <c r="C1" s="1" t="s">
        <v>52</v>
      </c>
    </row>
    <row r="2" spans="8:8" ht="39.0" customHeight="1">
      <c r="A2" s="26" t="s">
        <v>36</v>
      </c>
      <c r="B2" s="26" t="s">
        <v>53</v>
      </c>
      <c r="C2" s="3" t="s">
        <v>54</v>
      </c>
    </row>
    <row r="3" spans="8:8" ht="26.25" customHeight="1">
      <c r="A3" s="26" t="s">
        <v>31</v>
      </c>
      <c r="B3" s="26" t="s">
        <v>55</v>
      </c>
      <c r="C3" s="3" t="s">
        <v>56</v>
      </c>
    </row>
    <row r="4" spans="8:8" ht="15.0" customHeight="1">
      <c r="A4" s="13"/>
      <c r="B4" s="13"/>
      <c r="C4" s="27"/>
    </row>
    <row r="5" spans="8:8" ht="15.0" customHeight="1">
      <c r="A5" s="13"/>
      <c r="B5" s="13"/>
      <c r="C5" s="27"/>
    </row>
    <row r="6" spans="8:8" ht="15.0" customHeight="1">
      <c r="A6" s="13"/>
      <c r="B6" s="13"/>
      <c r="C6" s="27"/>
    </row>
    <row r="7" spans="8:8" ht="15.0" customHeight="1">
      <c r="A7" s="13"/>
      <c r="B7" s="13"/>
      <c r="C7" s="27"/>
    </row>
    <row r="8" spans="8:8" ht="15.0" customHeight="1">
      <c r="A8" s="13"/>
      <c r="B8" s="13"/>
      <c r="C8" s="27"/>
    </row>
    <row r="9" spans="8:8" ht="15.0" customHeight="1">
      <c r="A9" s="13"/>
      <c r="B9" s="13"/>
      <c r="C9" s="27"/>
    </row>
    <row r="10" spans="8:8" ht="15.0" customHeight="1">
      <c r="A10" s="13"/>
      <c r="B10" s="13"/>
      <c r="C10" s="27"/>
    </row>
    <row r="11" spans="8:8" ht="15.0" customHeight="1">
      <c r="A11" s="13"/>
      <c r="B11" s="13"/>
      <c r="C11" s="27"/>
    </row>
    <row r="12" spans="8:8" ht="15.0" customHeight="1">
      <c r="A12" s="13"/>
      <c r="B12" s="13"/>
      <c r="C12" s="27"/>
    </row>
    <row r="13" spans="8:8" ht="15.0" customHeight="1">
      <c r="A13" s="13"/>
      <c r="B13" s="13"/>
      <c r="C13" s="27"/>
    </row>
    <row r="14" spans="8:8" ht="15.0" customHeight="1">
      <c r="A14" s="13"/>
      <c r="B14" s="13"/>
      <c r="C14" s="27"/>
    </row>
    <row r="15" spans="8:8" ht="15.0" customHeight="1">
      <c r="A15" s="13"/>
      <c r="B15" s="13"/>
      <c r="C15" s="27"/>
    </row>
    <row r="16" spans="8:8" ht="15.0" customHeight="1">
      <c r="A16" s="13"/>
      <c r="B16" s="13"/>
      <c r="C16" s="27"/>
    </row>
    <row r="17" spans="8:8" ht="15.0" customHeight="1">
      <c r="A17" s="13"/>
      <c r="B17" s="13"/>
      <c r="C17" s="27"/>
    </row>
    <row r="18" spans="8:8" ht="15.0" customHeight="1">
      <c r="A18" s="13"/>
      <c r="B18" s="13"/>
      <c r="C18" s="27"/>
    </row>
    <row r="19" spans="8:8" ht="15.0" customHeight="1">
      <c r="A19" s="13"/>
      <c r="B19" s="13"/>
      <c r="C19" s="27"/>
    </row>
    <row r="20" spans="8:8" ht="15.0" customHeight="1">
      <c r="A20" s="13"/>
      <c r="B20" s="13"/>
      <c r="C20" s="27"/>
    </row>
    <row r="21" spans="8:8" ht="15.0" customHeight="1">
      <c r="A21" s="13"/>
      <c r="B21" s="13"/>
      <c r="C21" s="27"/>
    </row>
    <row r="22" spans="8:8" ht="15.0" customHeight="1">
      <c r="A22" s="13"/>
      <c r="B22" s="13"/>
      <c r="C22" s="27"/>
    </row>
    <row r="23" spans="8:8" ht="15.0" customHeight="1">
      <c r="A23" s="13"/>
      <c r="B23" s="13"/>
      <c r="C23" s="27"/>
    </row>
    <row r="24" spans="8:8" ht="15.0" customHeight="1">
      <c r="A24" s="13"/>
      <c r="B24" s="13"/>
      <c r="C24" s="27"/>
    </row>
    <row r="25" spans="8:8" ht="15.0" customHeight="1">
      <c r="A25" s="13"/>
      <c r="B25" s="13"/>
      <c r="C25" s="27"/>
    </row>
    <row r="26" spans="8:8" ht="15.0" customHeight="1">
      <c r="A26" s="13"/>
      <c r="B26" s="13"/>
      <c r="C26" s="27"/>
    </row>
    <row r="27" spans="8:8" ht="15.0" customHeight="1">
      <c r="A27" s="13"/>
      <c r="B27" s="13"/>
      <c r="C27" s="27"/>
    </row>
    <row r="28" spans="8:8" ht="15.0" customHeight="1">
      <c r="A28" s="13"/>
      <c r="B28" s="13"/>
      <c r="C28" s="27"/>
    </row>
    <row r="29" spans="8:8" ht="15.0" customHeight="1">
      <c r="A29" s="13"/>
      <c r="B29" s="13"/>
      <c r="C29" s="27"/>
    </row>
    <row r="30" spans="8:8" ht="15.0" customHeight="1">
      <c r="A30" s="13"/>
      <c r="B30" s="13"/>
      <c r="C30" s="27"/>
    </row>
    <row r="31" spans="8:8" ht="15.0" customHeight="1">
      <c r="A31" s="13"/>
      <c r="B31" s="13"/>
      <c r="C31" s="27"/>
    </row>
    <row r="33" spans="8:8" ht="15.0" customHeight="1">
      <c r="A33" s="28" t="s">
        <v>57</v>
      </c>
    </row>
  </sheetData>
  <pageMargins left="0.75" right="0.75" top="1.0" bottom="1.0" header="0.511811023622047" footer="0.511811023622047"/>
  <pageSetup paperSize="9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2026-08-19T14:53:41Z</dcterms:created>
  <dcterms:modified xsi:type="dcterms:W3CDTF">2026-08-20T14:16:20Z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73c3093dda0b4dc5b5d6f80d6f2368ab</vt:lpwstr>
  </property>
</Properties>
</file>