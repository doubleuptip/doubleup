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mmesse" sheetId="1" state="visible" r:id="rId3"/>
    <sheet name="Riepilogo" sheetId="2" state="visible" r:id="rId4"/>
    <sheet name="Not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<sst xmlns="http://schemas.openxmlformats.org/spreadsheetml/2006/main" count="46" uniqueCount="41">
  <si>
    <t xml:space="preserve">Data</t>
  </si>
  <si>
    <t xml:space="preserve">Sport</t>
  </si>
  <si>
    <t xml:space="preserve">Evento</t>
  </si>
  <si>
    <t xml:space="preserve">Tipo Scommessa</t>
  </si>
  <si>
    <t xml:space="preserve">Quota</t>
  </si>
  <si>
    <t xml:space="preserve">Importo Scommesso (€)</t>
  </si>
  <si>
    <t xml:space="preserve">Esito</t>
  </si>
  <si>
    <t xml:space="preserve">Guadagno/Perdita (€)</t>
  </si>
  <si>
    <t xml:space="preserve">ROI (%)</t>
  </si>
  <si>
    <t xml:space="preserve">2026-08-10</t>
  </si>
  <si>
    <t xml:space="preserve">Calcio</t>
  </si>
  <si>
    <t xml:space="preserve">Inter vs Milan</t>
  </si>
  <si>
    <t xml:space="preserve">1X2 - Vittoria Inter</t>
  </si>
  <si>
    <t xml:space="preserve">Vinta</t>
  </si>
  <si>
    <t xml:space="preserve">2026-08-14</t>
  </si>
  <si>
    <t xml:space="preserve">NFL</t>
  </si>
  <si>
    <t xml:space="preserve">Chiefs vs Bills</t>
  </si>
  <si>
    <t xml:space="preserve">Over 47.5 punti</t>
  </si>
  <si>
    <t xml:space="preserve">Persa</t>
  </si>
  <si>
    <t xml:space="preserve">2026-08-17</t>
  </si>
  <si>
    <t xml:space="preserve">Juventus vs Napoli</t>
  </si>
  <si>
    <t xml:space="preserve">Doppia Chance 1X</t>
  </si>
  <si>
    <t xml:space="preserve">Legenda:</t>
  </si>
  <si>
    <t xml:space="preserve">Celle blu = da compilare manualmente</t>
  </si>
  <si>
    <t xml:space="preserve">Esito: scrivere esattamente "Vinta", "Persa" o lasciare vuoto</t>
  </si>
  <si>
    <t xml:space="preserve">Guadagno/Perdita e ROI si calcolano da soli</t>
  </si>
  <si>
    <t xml:space="preserve">RIEPILOGO PERFORMANCE SCOMMESSE</t>
  </si>
  <si>
    <t xml:space="preserve">Totale scommesse piazzate</t>
  </si>
  <si>
    <t xml:space="preserve">Scommesse vinte</t>
  </si>
  <si>
    <t xml:space="preserve">Scommesse perse</t>
  </si>
  <si>
    <t xml:space="preserve">Percentuale di vittoria (%)</t>
  </si>
  <si>
    <t xml:space="preserve">Totale importo scommesso (€)</t>
  </si>
  <si>
    <t xml:space="preserve">Guadagno/Perdita totale (€)</t>
  </si>
  <si>
    <t xml:space="preserve">ROI complessivo (%)</t>
  </si>
  <si>
    <t xml:space="preserve">Titolo</t>
  </si>
  <si>
    <t xml:space="preserve">Testo</t>
  </si>
  <si>
    <t xml:space="preserve">Perché tengo questo diario</t>
  </si>
  <si>
    <t xml:space="preserve">Registrare ogni giocata mi obbliga a essere onesto con me stesso. Senza numeri scritti si ricordano solo le vincite, e il quadro che ne esce non ha niente a che vedere con la realtà. Qui c'è tutto, comprese le perdite.</t>
  </si>
  <si>
    <t xml:space="preserve">Chiefs – Bills, letta male</t>
  </si>
  <si>
    <t xml:space="preserve">Avevo puntato sull'over convinto dal ritmo delle ultime uscite, ignorando il meteo previsto e la difesa in ripresa di Buffalo. Un dato preso da solo, fuori contesto, non vale granché.</t>
  </si>
  <si>
    <t xml:space="preserve">Le note più recenti vanno in cima. La data si scrive AAAA-MM-GG.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</si>
</sst>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\€#,##0.00"/>
    <numFmt numFmtId="167" formatCode="\€#,##0.00;&quot;(€&quot;#,##0.00\);\-"/>
    <numFmt numFmtId="168" formatCode="0.0%"/>
    <numFmt numFmtId="169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0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4" t="n">
        <v>1.85</v>
      </c>
      <c r="F2" s="5" t="n">
        <v>100</v>
      </c>
      <c r="G2" s="3" t="s">
        <v>13</v>
      </c>
      <c r="H2" s="6" t="n">
        <f aca="false">IF(G2="Vinta",(E2*F2)-F2,IF(G2="Persa",-F2,0))</f>
        <v>85</v>
      </c>
      <c r="I2" s="7" t="n">
        <f aca="false">IFERROR(H2/F2,0)</f>
        <v>0.85</v>
      </c>
    </row>
    <row r="3" customFormat="false" ht="15" hidden="false" customHeight="true" outlineLevel="0" collapsed="false">
      <c r="A3" s="3" t="s">
        <v>14</v>
      </c>
      <c r="B3" s="3" t="s">
        <v>15</v>
      </c>
      <c r="C3" s="3" t="s">
        <v>16</v>
      </c>
      <c r="D3" s="3" t="s">
        <v>17</v>
      </c>
      <c r="E3" s="4" t="n">
        <v>1.9</v>
      </c>
      <c r="F3" s="5" t="n">
        <v>150</v>
      </c>
      <c r="G3" s="3" t="s">
        <v>18</v>
      </c>
      <c r="H3" s="6" t="n">
        <f aca="false">IF(G3="Vinta",(E3*F3)-F3,IF(G3="Persa",-F3,0))</f>
        <v>-150</v>
      </c>
      <c r="I3" s="7" t="n">
        <f aca="false">IFERROR(H3/F3,0)</f>
        <v>-1</v>
      </c>
    </row>
    <row r="4" customFormat="false" ht="15" hidden="false" customHeight="true" outlineLevel="0" collapsed="false">
      <c r="A4" s="3" t="s">
        <v>19</v>
      </c>
      <c r="B4" s="3" t="s">
        <v>10</v>
      </c>
      <c r="C4" s="3" t="s">
        <v>20</v>
      </c>
      <c r="D4" s="3" t="s">
        <v>21</v>
      </c>
      <c r="E4" s="4" t="n">
        <v>1.4</v>
      </c>
      <c r="F4" s="5" t="n">
        <v>200</v>
      </c>
      <c r="G4" s="3" t="s">
        <v>13</v>
      </c>
      <c r="H4" s="6" t="n">
        <f aca="false">IF(G4="Vinta",(E4*F4)-F4,IF(G4="Persa",-F4,0))</f>
        <v>80</v>
      </c>
      <c r="I4" s="7" t="n">
        <f aca="false">IFERROR(H4/F4,0)</f>
        <v>0.4</v>
      </c>
    </row>
    <row r="5" customFormat="false" ht="15" hidden="false" customHeight="true" outlineLevel="0" collapsed="false">
      <c r="A5" s="8"/>
      <c r="B5" s="8"/>
      <c r="C5" s="8"/>
      <c r="D5" s="8"/>
      <c r="E5" s="9"/>
      <c r="F5" s="10"/>
      <c r="G5" s="8"/>
      <c r="H5" s="11" t="n">
        <f aca="false">IF(G5="Vinta",(E5*F5)-F5,IF(G5="Persa",-F5,0))</f>
        <v>0</v>
      </c>
      <c r="I5" s="12" t="n">
        <f aca="false">IFERROR(H5/F5,0)</f>
        <v>0</v>
      </c>
    </row>
    <row r="6" customFormat="false" ht="15" hidden="false" customHeight="true" outlineLevel="0" collapsed="false">
      <c r="A6" s="8"/>
      <c r="B6" s="8"/>
      <c r="C6" s="8"/>
      <c r="D6" s="8"/>
      <c r="E6" s="9"/>
      <c r="F6" s="10"/>
      <c r="G6" s="8"/>
      <c r="H6" s="11" t="n">
        <f aca="false">IF(G6="Vinta",(E6*F6)-F6,IF(G6="Persa",-F6,0))</f>
        <v>0</v>
      </c>
      <c r="I6" s="12" t="n">
        <f aca="false">IFERROR(H6/F6,0)</f>
        <v>0</v>
      </c>
    </row>
    <row r="7" customFormat="false" ht="15" hidden="false" customHeight="true" outlineLevel="0" collapsed="false">
      <c r="A7" s="8"/>
      <c r="B7" s="8"/>
      <c r="C7" s="8"/>
      <c r="D7" s="8"/>
      <c r="E7" s="9"/>
      <c r="F7" s="10"/>
      <c r="G7" s="8"/>
      <c r="H7" s="11" t="n">
        <f aca="false">IF(G7="Vinta",(E7*F7)-F7,IF(G7="Persa",-F7,0))</f>
        <v>0</v>
      </c>
      <c r="I7" s="12" t="n">
        <f aca="false">IFERROR(H7/F7,0)</f>
        <v>0</v>
      </c>
    </row>
    <row r="8" customFormat="false" ht="15" hidden="false" customHeight="true" outlineLevel="0" collapsed="false">
      <c r="A8" s="8"/>
      <c r="B8" s="8"/>
      <c r="C8" s="8"/>
      <c r="D8" s="8"/>
      <c r="E8" s="9"/>
      <c r="F8" s="10"/>
      <c r="G8" s="8"/>
      <c r="H8" s="11" t="n">
        <f aca="false">IF(G8="Vinta",(E8*F8)-F8,IF(G8="Persa",-F8,0))</f>
        <v>0</v>
      </c>
      <c r="I8" s="12" t="n">
        <f aca="false">IFERROR(H8/F8,0)</f>
        <v>0</v>
      </c>
    </row>
    <row r="9" customFormat="false" ht="15" hidden="false" customHeight="true" outlineLevel="0" collapsed="false">
      <c r="A9" s="8"/>
      <c r="B9" s="8"/>
      <c r="C9" s="8"/>
      <c r="D9" s="8"/>
      <c r="E9" s="9"/>
      <c r="F9" s="10"/>
      <c r="G9" s="8"/>
      <c r="H9" s="11" t="n">
        <f aca="false">IF(G9="Vinta",(E9*F9)-F9,IF(G9="Persa",-F9,0))</f>
        <v>0</v>
      </c>
      <c r="I9" s="12" t="n">
        <f aca="false">IFERROR(H9/F9,0)</f>
        <v>0</v>
      </c>
    </row>
    <row r="10" customFormat="false" ht="15" hidden="false" customHeight="true" outlineLevel="0" collapsed="false">
      <c r="A10" s="8"/>
      <c r="B10" s="8"/>
      <c r="C10" s="8"/>
      <c r="D10" s="8"/>
      <c r="E10" s="9"/>
      <c r="F10" s="10"/>
      <c r="G10" s="8"/>
      <c r="H10" s="11" t="n">
        <f aca="false">IF(G10="Vinta",(E10*F10)-F10,IF(G10="Persa",-F10,0))</f>
        <v>0</v>
      </c>
      <c r="I10" s="12" t="n">
        <f aca="false">IFERROR(H10/F10,0)</f>
        <v>0</v>
      </c>
    </row>
    <row r="11" customFormat="false" ht="15" hidden="false" customHeight="true" outlineLevel="0" collapsed="false">
      <c r="A11" s="8"/>
      <c r="B11" s="8"/>
      <c r="C11" s="8"/>
      <c r="D11" s="8"/>
      <c r="E11" s="9"/>
      <c r="F11" s="10"/>
      <c r="G11" s="8"/>
      <c r="H11" s="11" t="n">
        <f aca="false">IF(G11="Vinta",(E11*F11)-F11,IF(G11="Persa",-F11,0))</f>
        <v>0</v>
      </c>
      <c r="I11" s="12" t="n">
        <f aca="false">IFERROR(H11/F11,0)</f>
        <v>0</v>
      </c>
    </row>
    <row r="12" customFormat="false" ht="15" hidden="false" customHeight="true" outlineLevel="0" collapsed="false">
      <c r="A12" s="8"/>
      <c r="B12" s="8"/>
      <c r="C12" s="8"/>
      <c r="D12" s="8"/>
      <c r="E12" s="9"/>
      <c r="F12" s="10"/>
      <c r="G12" s="8"/>
      <c r="H12" s="11" t="n">
        <f aca="false">IF(G12="Vinta",(E12*F12)-F12,IF(G12="Persa",-F12,0))</f>
        <v>0</v>
      </c>
      <c r="I12" s="12" t="n">
        <f aca="false">IFERROR(H12/F12,0)</f>
        <v>0</v>
      </c>
    </row>
    <row r="13" customFormat="false" ht="15" hidden="false" customHeight="true" outlineLevel="0" collapsed="false">
      <c r="A13" s="8"/>
      <c r="B13" s="8"/>
      <c r="C13" s="8"/>
      <c r="D13" s="8"/>
      <c r="E13" s="9"/>
      <c r="F13" s="10"/>
      <c r="G13" s="8"/>
      <c r="H13" s="11" t="n">
        <f aca="false">IF(G13="Vinta",(E13*F13)-F13,IF(G13="Persa",-F13,0))</f>
        <v>0</v>
      </c>
      <c r="I13" s="12" t="n">
        <f aca="false">IFERROR(H13/F13,0)</f>
        <v>0</v>
      </c>
    </row>
    <row r="14" customFormat="false" ht="15" hidden="false" customHeight="true" outlineLevel="0" collapsed="false">
      <c r="A14" s="8"/>
      <c r="B14" s="8"/>
      <c r="C14" s="8"/>
      <c r="D14" s="8"/>
      <c r="E14" s="9"/>
      <c r="F14" s="10"/>
      <c r="G14" s="8"/>
      <c r="H14" s="11" t="n">
        <f aca="false">IF(G14="Vinta",(E14*F14)-F14,IF(G14="Persa",-F14,0))</f>
        <v>0</v>
      </c>
      <c r="I14" s="12" t="n">
        <f aca="false">IFERROR(H14/F14,0)</f>
        <v>0</v>
      </c>
    </row>
    <row r="15" customFormat="false" ht="15" hidden="false" customHeight="true" outlineLevel="0" collapsed="false">
      <c r="A15" s="8"/>
      <c r="B15" s="8"/>
      <c r="C15" s="8"/>
      <c r="D15" s="8"/>
      <c r="E15" s="9"/>
      <c r="F15" s="10"/>
      <c r="G15" s="8"/>
      <c r="H15" s="11" t="n">
        <f aca="false">IF(G15="Vinta",(E15*F15)-F15,IF(G15="Persa",-F15,0))</f>
        <v>0</v>
      </c>
      <c r="I15" s="12" t="n">
        <f aca="false">IFERROR(H15/F15,0)</f>
        <v>0</v>
      </c>
    </row>
    <row r="16" customFormat="false" ht="15" hidden="false" customHeight="true" outlineLevel="0" collapsed="false">
      <c r="A16" s="8"/>
      <c r="B16" s="8"/>
      <c r="C16" s="8"/>
      <c r="D16" s="8"/>
      <c r="E16" s="9"/>
      <c r="F16" s="10"/>
      <c r="G16" s="8"/>
      <c r="H16" s="11" t="n">
        <f aca="false">IF(G16="Vinta",(E16*F16)-F16,IF(G16="Persa",-F16,0))</f>
        <v>0</v>
      </c>
      <c r="I16" s="12" t="n">
        <f aca="false">IFERROR(H16/F16,0)</f>
        <v>0</v>
      </c>
    </row>
    <row r="17" customFormat="false" ht="15" hidden="false" customHeight="true" outlineLevel="0" collapsed="false">
      <c r="A17" s="8"/>
      <c r="B17" s="8"/>
      <c r="C17" s="8"/>
      <c r="D17" s="8"/>
      <c r="E17" s="9"/>
      <c r="F17" s="10"/>
      <c r="G17" s="8"/>
      <c r="H17" s="11" t="n">
        <f aca="false">IF(G17="Vinta",(E17*F17)-F17,IF(G17="Persa",-F17,0))</f>
        <v>0</v>
      </c>
      <c r="I17" s="12" t="n">
        <f aca="false">IFERROR(H17/F17,0)</f>
        <v>0</v>
      </c>
    </row>
    <row r="18" customFormat="false" ht="15" hidden="false" customHeight="true" outlineLevel="0" collapsed="false">
      <c r="A18" s="8"/>
      <c r="B18" s="8"/>
      <c r="C18" s="8"/>
      <c r="D18" s="8"/>
      <c r="E18" s="9"/>
      <c r="F18" s="10"/>
      <c r="G18" s="8"/>
      <c r="H18" s="11" t="n">
        <f aca="false">IF(G18="Vinta",(E18*F18)-F18,IF(G18="Persa",-F18,0))</f>
        <v>0</v>
      </c>
      <c r="I18" s="12" t="n">
        <f aca="false">IFERROR(H18/F18,0)</f>
        <v>0</v>
      </c>
    </row>
    <row r="19" customFormat="false" ht="15" hidden="false" customHeight="true" outlineLevel="0" collapsed="false">
      <c r="A19" s="8"/>
      <c r="B19" s="8"/>
      <c r="C19" s="8"/>
      <c r="D19" s="8"/>
      <c r="E19" s="9"/>
      <c r="F19" s="10"/>
      <c r="G19" s="8"/>
      <c r="H19" s="11" t="n">
        <f aca="false">IF(G19="Vinta",(E19*F19)-F19,IF(G19="Persa",-F19,0))</f>
        <v>0</v>
      </c>
      <c r="I19" s="12" t="n">
        <f aca="false">IFERROR(H19/F19,0)</f>
        <v>0</v>
      </c>
    </row>
    <row r="20" customFormat="false" ht="15" hidden="false" customHeight="true" outlineLevel="0" collapsed="false">
      <c r="A20" s="8"/>
      <c r="B20" s="8"/>
      <c r="C20" s="8"/>
      <c r="D20" s="8"/>
      <c r="E20" s="9"/>
      <c r="F20" s="10"/>
      <c r="G20" s="8"/>
      <c r="H20" s="11" t="n">
        <f aca="false">IF(G20="Vinta",(E20*F20)-F20,IF(G20="Persa",-F20,0))</f>
        <v>0</v>
      </c>
      <c r="I20" s="12" t="n">
        <f aca="false">IFERROR(H20/F20,0)</f>
        <v>0</v>
      </c>
    </row>
    <row r="21" customFormat="false" ht="15" hidden="false" customHeight="true" outlineLevel="0" collapsed="false">
      <c r="A21" s="8"/>
      <c r="B21" s="8"/>
      <c r="C21" s="8"/>
      <c r="D21" s="8"/>
      <c r="E21" s="9"/>
      <c r="F21" s="10"/>
      <c r="G21" s="8"/>
      <c r="H21" s="11" t="n">
        <f aca="false">IF(G21="Vinta",(E21*F21)-F21,IF(G21="Persa",-F21,0))</f>
        <v>0</v>
      </c>
      <c r="I21" s="12" t="n">
        <f aca="false">IFERROR(H21/F21,0)</f>
        <v>0</v>
      </c>
    </row>
    <row r="22" customFormat="false" ht="15" hidden="false" customHeight="true" outlineLevel="0" collapsed="false">
      <c r="A22" s="8"/>
      <c r="B22" s="8"/>
      <c r="C22" s="8"/>
      <c r="D22" s="8"/>
      <c r="E22" s="9"/>
      <c r="F22" s="10"/>
      <c r="G22" s="8"/>
      <c r="H22" s="11" t="n">
        <f aca="false">IF(G22="Vinta",(E22*F22)-F22,IF(G22="Persa",-F22,0))</f>
        <v>0</v>
      </c>
      <c r="I22" s="12" t="n">
        <f aca="false">IFERROR(H22/F22,0)</f>
        <v>0</v>
      </c>
    </row>
    <row r="23" customFormat="false" ht="15" hidden="false" customHeight="true" outlineLevel="0" collapsed="false">
      <c r="A23" s="8"/>
      <c r="B23" s="8"/>
      <c r="C23" s="8"/>
      <c r="D23" s="8"/>
      <c r="E23" s="9"/>
      <c r="F23" s="10"/>
      <c r="G23" s="8"/>
      <c r="H23" s="11" t="n">
        <f aca="false">IF(G23="Vinta",(E23*F23)-F23,IF(G23="Persa",-F23,0))</f>
        <v>0</v>
      </c>
      <c r="I23" s="12" t="n">
        <f aca="false">IFERROR(H23/F23,0)</f>
        <v>0</v>
      </c>
    </row>
    <row r="24" customFormat="false" ht="15" hidden="false" customHeight="true" outlineLevel="0" collapsed="false">
      <c r="A24" s="8"/>
      <c r="B24" s="8"/>
      <c r="C24" s="8"/>
      <c r="D24" s="8"/>
      <c r="E24" s="9"/>
      <c r="F24" s="10"/>
      <c r="G24" s="8"/>
      <c r="H24" s="11" t="n">
        <f aca="false">IF(G24="Vinta",(E24*F24)-F24,IF(G24="Persa",-F24,0))</f>
        <v>0</v>
      </c>
      <c r="I24" s="12" t="n">
        <f aca="false">IFERROR(H24/F24,0)</f>
        <v>0</v>
      </c>
    </row>
    <row r="25" customFormat="false" ht="15" hidden="false" customHeight="true" outlineLevel="0" collapsed="false">
      <c r="A25" s="8"/>
      <c r="B25" s="8"/>
      <c r="C25" s="8"/>
      <c r="D25" s="8"/>
      <c r="E25" s="9"/>
      <c r="F25" s="10"/>
      <c r="G25" s="8"/>
      <c r="H25" s="11" t="n">
        <f aca="false">IF(G25="Vinta",(E25*F25)-F25,IF(G25="Persa",-F25,0))</f>
        <v>0</v>
      </c>
      <c r="I25" s="12" t="n">
        <f aca="false">IFERROR(H25/F25,0)</f>
        <v>0</v>
      </c>
    </row>
    <row r="26" customFormat="false" ht="15" hidden="false" customHeight="true" outlineLevel="0" collapsed="false">
      <c r="A26" s="8"/>
      <c r="B26" s="8"/>
      <c r="C26" s="8"/>
      <c r="D26" s="8"/>
      <c r="E26" s="9"/>
      <c r="F26" s="10"/>
      <c r="G26" s="8"/>
      <c r="H26" s="11" t="n">
        <f aca="false">IF(G26="Vinta",(E26*F26)-F26,IF(G26="Persa",-F26,0))</f>
        <v>0</v>
      </c>
      <c r="I26" s="12" t="n">
        <f aca="false">IFERROR(H26/F26,0)</f>
        <v>0</v>
      </c>
    </row>
    <row r="27" customFormat="false" ht="15" hidden="false" customHeight="true" outlineLevel="0" collapsed="false">
      <c r="A27" s="8"/>
      <c r="B27" s="8"/>
      <c r="C27" s="8"/>
      <c r="D27" s="8"/>
      <c r="E27" s="9"/>
      <c r="F27" s="10"/>
      <c r="G27" s="8"/>
      <c r="H27" s="11" t="n">
        <f aca="false">IF(G27="Vinta",(E27*F27)-F27,IF(G27="Persa",-F27,0))</f>
        <v>0</v>
      </c>
      <c r="I27" s="12" t="n">
        <f aca="false">IFERROR(H27/F27,0)</f>
        <v>0</v>
      </c>
    </row>
    <row r="28" customFormat="false" ht="15" hidden="false" customHeight="true" outlineLevel="0" collapsed="false">
      <c r="A28" s="8"/>
      <c r="B28" s="8"/>
      <c r="C28" s="8"/>
      <c r="D28" s="8"/>
      <c r="E28" s="9"/>
      <c r="F28" s="10"/>
      <c r="G28" s="8"/>
      <c r="H28" s="11" t="n">
        <f aca="false">IF(G28="Vinta",(E28*F28)-F28,IF(G28="Persa",-F28,0))</f>
        <v>0</v>
      </c>
      <c r="I28" s="12" t="n">
        <f aca="false">IFERROR(H28/F28,0)</f>
        <v>0</v>
      </c>
    </row>
    <row r="29" customFormat="false" ht="15" hidden="false" customHeight="true" outlineLevel="0" collapsed="false">
      <c r="A29" s="8"/>
      <c r="B29" s="8"/>
      <c r="C29" s="8"/>
      <c r="D29" s="8"/>
      <c r="E29" s="9"/>
      <c r="F29" s="10"/>
      <c r="G29" s="8"/>
      <c r="H29" s="11" t="n">
        <f aca="false">IF(G29="Vinta",(E29*F29)-F29,IF(G29="Persa",-F29,0))</f>
        <v>0</v>
      </c>
      <c r="I29" s="12" t="n">
        <f aca="false">IFERROR(H29/F29,0)</f>
        <v>0</v>
      </c>
    </row>
    <row r="30" customFormat="false" ht="15" hidden="false" customHeight="true" outlineLevel="0" collapsed="false">
      <c r="A30" s="8"/>
      <c r="B30" s="8"/>
      <c r="C30" s="8"/>
      <c r="D30" s="8"/>
      <c r="E30" s="9"/>
      <c r="F30" s="10"/>
      <c r="G30" s="8"/>
      <c r="H30" s="11" t="n">
        <f aca="false">IF(G30="Vinta",(E30*F30)-F30,IF(G30="Persa",-F30,0))</f>
        <v>0</v>
      </c>
      <c r="I30" s="12" t="n">
        <f aca="false">IFERROR(H30/F30,0)</f>
        <v>0</v>
      </c>
    </row>
    <row r="31" customFormat="false" ht="15" hidden="false" customHeight="true" outlineLevel="0" collapsed="false">
      <c r="A31" s="8"/>
      <c r="B31" s="8"/>
      <c r="C31" s="8"/>
      <c r="D31" s="8"/>
      <c r="E31" s="9"/>
      <c r="F31" s="10"/>
      <c r="G31" s="8"/>
      <c r="H31" s="11" t="n">
        <f aca="false">IF(G31="Vinta",(E31*F31)-F31,IF(G31="Persa",-F31,0))</f>
        <v>0</v>
      </c>
      <c r="I31" s="12" t="n">
        <f aca="false">IFERROR(H31/F31,0)</f>
        <v>0</v>
      </c>
    </row>
    <row r="33" customFormat="false" ht="15" hidden="false" customHeight="true" outlineLevel="0" collapsed="false">
      <c r="A33" s="13" t="s">
        <v>22</v>
      </c>
    </row>
    <row r="34" customFormat="false" ht="15" hidden="false" customHeight="true" outlineLevel="0" collapsed="false">
      <c r="A34" s="14" t="s">
        <v>23</v>
      </c>
    </row>
    <row r="35" customFormat="false" ht="15" hidden="false" customHeight="true" outlineLevel="0" collapsed="false">
      <c r="A35" s="15" t="s">
        <v>24</v>
      </c>
    </row>
    <row r="36" customFormat="false" ht="15" hidden="false" customHeight="true" outlineLevel="0" collapsed="false">
      <c r="A36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16" t="s">
        <v>26</v>
      </c>
      <c r="B1" s="16"/>
      <c r="C1" s="16"/>
    </row>
    <row r="3" customFormat="false" ht="15" hidden="false" customHeight="true" outlineLevel="0" collapsed="false">
      <c r="A3" s="17" t="s">
        <v>27</v>
      </c>
      <c r="B3" s="18" t="n">
        <f aca="false">COUNTA(Scommesse!G2:G31)</f>
        <v>3</v>
      </c>
    </row>
    <row r="4" customFormat="false" ht="15" hidden="false" customHeight="true" outlineLevel="0" collapsed="false">
      <c r="A4" s="17" t="s">
        <v>28</v>
      </c>
      <c r="B4" s="18" t="n">
        <f aca="false">COUNTIF(Scommesse!G2:G31,"Vinta")</f>
        <v>2</v>
      </c>
    </row>
    <row r="5" customFormat="false" ht="15" hidden="false" customHeight="true" outlineLevel="0" collapsed="false">
      <c r="A5" s="17" t="s">
        <v>29</v>
      </c>
      <c r="B5" s="18" t="n">
        <f aca="false">COUNTIF(Scommesse!G2:G31,"Persa")</f>
        <v>1</v>
      </c>
    </row>
    <row r="6" customFormat="false" ht="15" hidden="false" customHeight="true" outlineLevel="0" collapsed="false">
      <c r="A6" s="17" t="s">
        <v>30</v>
      </c>
      <c r="B6" s="19" t="n">
        <f aca="false">IFERROR(B4/B3,0)</f>
        <v>0.666666666666667</v>
      </c>
    </row>
    <row r="7" customFormat="false" ht="15" hidden="false" customHeight="true" outlineLevel="0" collapsed="false">
      <c r="A7" s="17" t="s">
        <v>31</v>
      </c>
      <c r="B7" s="20" t="n">
        <f aca="false">SUM(Scommesse!F2:F31)</f>
        <v>450</v>
      </c>
    </row>
    <row r="8" customFormat="false" ht="15" hidden="false" customHeight="true" outlineLevel="0" collapsed="false">
      <c r="A8" s="17" t="s">
        <v>32</v>
      </c>
      <c r="B8" s="20" t="n">
        <f aca="false">SUM(Scommesse!H2:H31)</f>
        <v>15</v>
      </c>
    </row>
    <row r="9" customFormat="false" ht="15" hidden="false" customHeight="true" outlineLevel="0" collapsed="false">
      <c r="A9" s="17" t="s">
        <v>33</v>
      </c>
      <c r="B9" s="19" t="n">
        <f aca="false">IFERROR(B8/B7,0)</f>
        <v>0.0333333333333333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8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1" t="s">
        <v>0</v>
      </c>
      <c r="B1" s="21" t="s">
        <v>34</v>
      </c>
      <c r="C1" s="21" t="s">
        <v>35</v>
      </c>
    </row>
    <row r="2" customFormat="false" ht="39.55" hidden="false" customHeight="false" outlineLevel="0" collapsed="false">
      <c r="A2" s="22" t="s">
        <v>19</v>
      </c>
      <c r="B2" s="22" t="s">
        <v>36</v>
      </c>
      <c r="C2" s="23" t="s">
        <v>37</v>
      </c>
    </row>
    <row r="3" customFormat="false" ht="26.85" hidden="false" customHeight="false" outlineLevel="0" collapsed="false">
      <c r="A3" s="22" t="s">
        <v>14</v>
      </c>
      <c r="B3" s="22" t="s">
        <v>38</v>
      </c>
      <c r="C3" s="23" t="s">
        <v>39</v>
      </c>
    </row>
    <row r="4" customFormat="false" ht="15" hidden="false" customHeight="false" outlineLevel="0" collapsed="false">
      <c r="A4" s="24"/>
      <c r="B4" s="24"/>
      <c r="C4" s="25"/>
    </row>
    <row r="5" customFormat="false" ht="15" hidden="false" customHeight="false" outlineLevel="0" collapsed="false">
      <c r="A5" s="24"/>
      <c r="B5" s="24"/>
      <c r="C5" s="25"/>
    </row>
    <row r="6" customFormat="false" ht="15" hidden="false" customHeight="false" outlineLevel="0" collapsed="false">
      <c r="A6" s="24"/>
      <c r="B6" s="24"/>
      <c r="C6" s="25"/>
    </row>
    <row r="7" customFormat="false" ht="15" hidden="false" customHeight="false" outlineLevel="0" collapsed="false">
      <c r="A7" s="24"/>
      <c r="B7" s="24"/>
      <c r="C7" s="25"/>
    </row>
    <row r="8" customFormat="false" ht="15" hidden="false" customHeight="false" outlineLevel="0" collapsed="false">
      <c r="A8" s="24"/>
      <c r="B8" s="24"/>
      <c r="C8" s="25"/>
    </row>
    <row r="9" customFormat="false" ht="15" hidden="false" customHeight="false" outlineLevel="0" collapsed="false">
      <c r="A9" s="24"/>
      <c r="B9" s="24"/>
      <c r="C9" s="25"/>
    </row>
    <row r="10" customFormat="false" ht="15" hidden="false" customHeight="false" outlineLevel="0" collapsed="false">
      <c r="A10" s="24"/>
      <c r="B10" s="24"/>
      <c r="C10" s="25"/>
    </row>
    <row r="11" customFormat="false" ht="15" hidden="false" customHeight="false" outlineLevel="0" collapsed="false">
      <c r="A11" s="24"/>
      <c r="B11" s="24"/>
      <c r="C11" s="25"/>
    </row>
    <row r="12" customFormat="false" ht="15" hidden="false" customHeight="false" outlineLevel="0" collapsed="false">
      <c r="A12" s="24"/>
      <c r="B12" s="24"/>
      <c r="C12" s="25"/>
    </row>
    <row r="13" customFormat="false" ht="15" hidden="false" customHeight="false" outlineLevel="0" collapsed="false">
      <c r="A13" s="24"/>
      <c r="B13" s="24"/>
      <c r="C13" s="25"/>
    </row>
    <row r="14" customFormat="false" ht="15" hidden="false" customHeight="false" outlineLevel="0" collapsed="false">
      <c r="A14" s="24"/>
      <c r="B14" s="24"/>
      <c r="C14" s="25"/>
    </row>
    <row r="15" customFormat="false" ht="15" hidden="false" customHeight="false" outlineLevel="0" collapsed="false">
      <c r="A15" s="24"/>
      <c r="B15" s="24"/>
      <c r="C15" s="25"/>
    </row>
    <row r="16" customFormat="false" ht="15" hidden="false" customHeight="false" outlineLevel="0" collapsed="false">
      <c r="A16" s="24"/>
      <c r="B16" s="24"/>
      <c r="C16" s="25"/>
    </row>
    <row r="17" customFormat="false" ht="15" hidden="false" customHeight="false" outlineLevel="0" collapsed="false">
      <c r="A17" s="24"/>
      <c r="B17" s="24"/>
      <c r="C17" s="25"/>
    </row>
    <row r="18" customFormat="false" ht="15" hidden="false" customHeight="false" outlineLevel="0" collapsed="false">
      <c r="A18" s="24"/>
      <c r="B18" s="24"/>
      <c r="C18" s="25"/>
    </row>
    <row r="19" customFormat="false" ht="15" hidden="false" customHeight="false" outlineLevel="0" collapsed="false">
      <c r="A19" s="24"/>
      <c r="B19" s="24"/>
      <c r="C19" s="25"/>
    </row>
    <row r="20" customFormat="false" ht="15" hidden="false" customHeight="false" outlineLevel="0" collapsed="false">
      <c r="A20" s="24"/>
      <c r="B20" s="24"/>
      <c r="C20" s="25"/>
    </row>
    <row r="21" customFormat="false" ht="15" hidden="false" customHeight="false" outlineLevel="0" collapsed="false">
      <c r="A21" s="24"/>
      <c r="B21" s="24"/>
      <c r="C21" s="25"/>
    </row>
    <row r="22" customFormat="false" ht="15" hidden="false" customHeight="false" outlineLevel="0" collapsed="false">
      <c r="A22" s="24"/>
      <c r="B22" s="24"/>
      <c r="C22" s="25"/>
    </row>
    <row r="23" customFormat="false" ht="15" hidden="false" customHeight="false" outlineLevel="0" collapsed="false">
      <c r="A23" s="24"/>
      <c r="B23" s="24"/>
      <c r="C23" s="25"/>
    </row>
    <row r="24" customFormat="false" ht="15" hidden="false" customHeight="false" outlineLevel="0" collapsed="false">
      <c r="A24" s="24"/>
      <c r="B24" s="24"/>
      <c r="C24" s="25"/>
    </row>
    <row r="25" customFormat="false" ht="15" hidden="false" customHeight="false" outlineLevel="0" collapsed="false">
      <c r="A25" s="24"/>
      <c r="B25" s="24"/>
      <c r="C25" s="25"/>
    </row>
    <row r="26" customFormat="false" ht="15" hidden="false" customHeight="false" outlineLevel="0" collapsed="false">
      <c r="A26" s="24"/>
      <c r="B26" s="24"/>
      <c r="C26" s="25"/>
    </row>
    <row r="27" customFormat="false" ht="15" hidden="false" customHeight="false" outlineLevel="0" collapsed="false">
      <c r="A27" s="24"/>
      <c r="B27" s="24"/>
      <c r="C27" s="25"/>
    </row>
    <row r="28" customFormat="false" ht="15" hidden="false" customHeight="false" outlineLevel="0" collapsed="false">
      <c r="A28" s="24"/>
      <c r="B28" s="24"/>
      <c r="C28" s="25"/>
    </row>
    <row r="29" customFormat="false" ht="15" hidden="false" customHeight="false" outlineLevel="0" collapsed="false">
      <c r="A29" s="24"/>
      <c r="B29" s="24"/>
      <c r="C29" s="25"/>
    </row>
    <row r="30" customFormat="false" ht="15" hidden="false" customHeight="false" outlineLevel="0" collapsed="false">
      <c r="A30" s="24"/>
      <c r="B30" s="24"/>
      <c r="C30" s="25"/>
    </row>
    <row r="31" customFormat="false" ht="15" hidden="false" customHeight="false" outlineLevel="0" collapsed="false">
      <c r="A31" s="24"/>
      <c r="B31" s="24"/>
      <c r="C31" s="25"/>
    </row>
    <row r="33" customFormat="false" ht="15" hidden="false" customHeight="false" outlineLevel="0" collapsed="false">
      <c r="A33" s="26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2026-08-19T16:53:41Z</dcterms:created>
  <dc:creator>openpyxl</dc:creator>
  <dc:description/>
  <dc:language>en-US</dc:language>
  <cp:lastModifiedBy/>
  <dcterms:modified xsi:type="dcterms:W3CDTF">2026-08-20T11:41:26Z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